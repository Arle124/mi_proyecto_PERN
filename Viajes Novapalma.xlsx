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<sst xmlns="http://schemas.openxmlformats.org/spreadsheetml/2006/main" count="256" uniqueCount="36">
  <si>
    <t>Fecha</t>
  </si>
  <si>
    <t>PLACA</t>
  </si>
  <si>
    <t>Conductor</t>
  </si>
  <si>
    <t>Empresa</t>
  </si>
  <si>
    <t>ORIGEN</t>
  </si>
  <si>
    <t>DESTINO</t>
  </si>
  <si>
    <t>PRODUCTO</t>
  </si>
  <si>
    <t>TIQUETE</t>
  </si>
  <si>
    <t>KILOGRAMOS</t>
  </si>
  <si>
    <t>VALOR TONELADA</t>
  </si>
  <si>
    <t>VALOR FLETE VIAJE</t>
  </si>
  <si>
    <t>PORCENTAJE CONDUCTOR</t>
  </si>
  <si>
    <t>ACPM</t>
  </si>
  <si>
    <t>FERRY</t>
  </si>
  <si>
    <t>GASTOS</t>
  </si>
  <si>
    <t>NETO</t>
  </si>
  <si>
    <t>RHA401</t>
  </si>
  <si>
    <t>JESUS ARENA</t>
  </si>
  <si>
    <t>EXTRACTORA - GLORIA</t>
  </si>
  <si>
    <t>EXTRACTORA-GLORIA</t>
  </si>
  <si>
    <t>HACIENDA -GLORIA</t>
  </si>
  <si>
    <t>COMPOST</t>
  </si>
  <si>
    <t>ARMANDO</t>
  </si>
  <si>
    <t>LUIS ALBERTO RAPALINO</t>
  </si>
  <si>
    <t>JIMMY RODRIGUEZ</t>
  </si>
  <si>
    <t>YEFERSON PARRA</t>
  </si>
  <si>
    <t>PUERTO RICO</t>
  </si>
  <si>
    <t>FRUTO</t>
  </si>
  <si>
    <t>YORDAN</t>
  </si>
  <si>
    <t>IMAR ASCANIO</t>
  </si>
  <si>
    <t>DAABON</t>
  </si>
  <si>
    <t>LOMA</t>
  </si>
  <si>
    <t>CHU030</t>
  </si>
  <si>
    <t>TEQUENDAMA</t>
  </si>
  <si>
    <t>STIVEN</t>
  </si>
  <si>
    <t>SAN ALBERTO</t>
  </si>
</sst>
</file>

<file path=xl/styles.xml><?xml version="1.0" encoding="utf-8"?>
<styleSheet xmlns="http://schemas.openxmlformats.org/spreadsheetml/2006/main">
  <numFmts count="6">
    <numFmt numFmtId="176" formatCode="dd/mm/yy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177" formatCode="_-&quot;$&quot;\ * #,##0_-;\-&quot;$&quot;\ * #,##0_-;_-&quot;$&quot;\ * &quot;-&quot;??_-;_-@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u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31" borderId="9" applyNumberFormat="0" applyFont="0" applyAlignment="0" applyProtection="0">
      <alignment vertical="center"/>
    </xf>
    <xf numFmtId="0" fontId="19" fillId="24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58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176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/>
    <xf numFmtId="0" fontId="0" fillId="0" borderId="1" xfId="0" applyBorder="1"/>
    <xf numFmtId="177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1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right"/>
    </xf>
    <xf numFmtId="177" fontId="0" fillId="0" borderId="1" xfId="0" applyNumberFormat="1" applyBorder="1"/>
    <xf numFmtId="177" fontId="2" fillId="0" borderId="1" xfId="0" applyNumberFormat="1" applyFont="1" applyBorder="1" applyAlignment="1">
      <alignment horizontal="right" wrapText="1"/>
    </xf>
    <xf numFmtId="177" fontId="2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77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abSelected="1" zoomScale="80" zoomScaleNormal="80" workbookViewId="0">
      <selection activeCell="N20" sqref="N20"/>
    </sheetView>
  </sheetViews>
  <sheetFormatPr defaultColWidth="8.89166666666667" defaultRowHeight="14.25"/>
  <cols>
    <col min="1" max="1" width="10.5583333333333" customWidth="1"/>
    <col min="3" max="3" width="22.225" customWidth="1"/>
    <col min="4" max="4" width="20.225" customWidth="1"/>
    <col min="5" max="6" width="19.4416666666667" customWidth="1"/>
    <col min="7" max="7" width="10.4416666666667" customWidth="1"/>
    <col min="8" max="8" width="26.7166666666667" customWidth="1"/>
    <col min="9" max="9" width="12.4416666666667" customWidth="1"/>
    <col min="10" max="11" width="28.4333333333333" customWidth="1"/>
    <col min="12" max="12" width="23.8916666666667" customWidth="1"/>
    <col min="13" max="13" width="11.1083333333333" customWidth="1"/>
    <col min="14" max="14" width="14.2083333333333" customWidth="1"/>
    <col min="15" max="15" width="14.3666666666667" customWidth="1"/>
    <col min="16" max="16" width="23.275" customWidth="1"/>
    <col min="17" max="17" width="10.2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ht="28.5" spans="1:16">
      <c r="A2" s="2">
        <v>46113</v>
      </c>
      <c r="B2" s="3" t="s">
        <v>16</v>
      </c>
      <c r="C2" s="4" t="s">
        <v>17</v>
      </c>
      <c r="D2" s="5" t="s">
        <v>18</v>
      </c>
      <c r="E2" s="5" t="s">
        <v>19</v>
      </c>
      <c r="F2" s="3" t="s">
        <v>20</v>
      </c>
      <c r="G2" s="3" t="s">
        <v>21</v>
      </c>
      <c r="H2" s="11">
        <v>243053</v>
      </c>
      <c r="I2" s="13">
        <v>13470</v>
      </c>
      <c r="J2" s="14">
        <v>12.151</v>
      </c>
      <c r="K2" s="15">
        <f>I2*J2</f>
        <v>163673.97</v>
      </c>
      <c r="L2" s="15">
        <f>K2*0.03</f>
        <v>4910.2191</v>
      </c>
      <c r="M2" s="17">
        <v>349291</v>
      </c>
      <c r="N2" s="9">
        <v>0</v>
      </c>
      <c r="O2" s="18">
        <f>M2+N2+L2</f>
        <v>354201.2191</v>
      </c>
      <c r="P2" s="18">
        <f>K2-O2</f>
        <v>-190527.2491</v>
      </c>
    </row>
    <row r="3" ht="28.5" spans="1:16">
      <c r="A3" s="6">
        <v>46113</v>
      </c>
      <c r="B3" s="3" t="s">
        <v>16</v>
      </c>
      <c r="C3" s="7" t="s">
        <v>22</v>
      </c>
      <c r="D3" s="5" t="s">
        <v>18</v>
      </c>
      <c r="E3" s="5" t="s">
        <v>19</v>
      </c>
      <c r="F3" s="3" t="s">
        <v>20</v>
      </c>
      <c r="G3" s="3" t="s">
        <v>21</v>
      </c>
      <c r="H3" s="11">
        <v>243046</v>
      </c>
      <c r="I3" s="13">
        <v>18150</v>
      </c>
      <c r="J3" s="14">
        <v>12.151</v>
      </c>
      <c r="K3" s="15">
        <f t="shared" ref="K2:K31" si="0">I3*J3</f>
        <v>220540.65</v>
      </c>
      <c r="L3" s="15">
        <f>K3*0.01</f>
        <v>2205.4065</v>
      </c>
      <c r="M3" s="17">
        <v>238893</v>
      </c>
      <c r="N3" s="9">
        <v>0</v>
      </c>
      <c r="O3" s="18">
        <f t="shared" ref="O3:O41" si="1">M3+N3+L3</f>
        <v>241098.4065</v>
      </c>
      <c r="P3" s="18">
        <f t="shared" ref="P3:P41" si="2">K3-O3</f>
        <v>-20557.7565</v>
      </c>
    </row>
    <row r="4" ht="28.5" spans="1:16">
      <c r="A4" s="2">
        <v>46113</v>
      </c>
      <c r="B4" s="3" t="s">
        <v>16</v>
      </c>
      <c r="C4" s="7" t="s">
        <v>22</v>
      </c>
      <c r="D4" s="5" t="s">
        <v>18</v>
      </c>
      <c r="E4" s="5" t="s">
        <v>19</v>
      </c>
      <c r="F4" s="5" t="s">
        <v>20</v>
      </c>
      <c r="G4" s="5" t="s">
        <v>21</v>
      </c>
      <c r="H4" s="12">
        <v>243066</v>
      </c>
      <c r="I4" s="12">
        <v>11790</v>
      </c>
      <c r="J4" s="14">
        <v>12.151</v>
      </c>
      <c r="K4" s="15">
        <f t="shared" si="0"/>
        <v>143260.29</v>
      </c>
      <c r="L4" s="15">
        <f t="shared" ref="L3:L41" si="3">K4*0.01</f>
        <v>1432.6029</v>
      </c>
      <c r="M4" s="19">
        <v>358030</v>
      </c>
      <c r="N4" s="9">
        <v>0</v>
      </c>
      <c r="O4" s="18">
        <f t="shared" si="1"/>
        <v>359462.6029</v>
      </c>
      <c r="P4" s="18">
        <f t="shared" si="2"/>
        <v>-216202.3129</v>
      </c>
    </row>
    <row r="5" ht="28.5" spans="1:16">
      <c r="A5" s="2">
        <v>46113</v>
      </c>
      <c r="B5" s="3" t="s">
        <v>16</v>
      </c>
      <c r="C5" s="7" t="s">
        <v>23</v>
      </c>
      <c r="D5" s="5" t="s">
        <v>18</v>
      </c>
      <c r="E5" s="5" t="s">
        <v>19</v>
      </c>
      <c r="F5" s="5" t="s">
        <v>20</v>
      </c>
      <c r="G5" s="5" t="s">
        <v>21</v>
      </c>
      <c r="H5" s="12">
        <v>243078</v>
      </c>
      <c r="I5" s="12">
        <v>12440</v>
      </c>
      <c r="J5" s="14">
        <v>12.151</v>
      </c>
      <c r="K5" s="15">
        <f t="shared" si="0"/>
        <v>151158.44</v>
      </c>
      <c r="L5" s="15">
        <f t="shared" si="3"/>
        <v>1511.5844</v>
      </c>
      <c r="M5" s="19">
        <v>424908</v>
      </c>
      <c r="N5" s="9">
        <v>0</v>
      </c>
      <c r="O5" s="18">
        <f t="shared" si="1"/>
        <v>426419.5844</v>
      </c>
      <c r="P5" s="18">
        <f t="shared" si="2"/>
        <v>-275261.1444</v>
      </c>
    </row>
    <row r="6" ht="28.5" spans="1:16">
      <c r="A6" s="2">
        <v>46113</v>
      </c>
      <c r="B6" s="3" t="s">
        <v>16</v>
      </c>
      <c r="C6" s="7" t="s">
        <v>23</v>
      </c>
      <c r="D6" s="5" t="s">
        <v>18</v>
      </c>
      <c r="E6" s="5" t="s">
        <v>19</v>
      </c>
      <c r="F6" s="5" t="s">
        <v>20</v>
      </c>
      <c r="G6" s="5" t="s">
        <v>21</v>
      </c>
      <c r="H6" s="12">
        <v>243090</v>
      </c>
      <c r="I6" s="12">
        <v>16800</v>
      </c>
      <c r="J6" s="14">
        <v>12.151</v>
      </c>
      <c r="K6" s="15">
        <f t="shared" si="0"/>
        <v>204136.8</v>
      </c>
      <c r="L6" s="15">
        <f t="shared" si="3"/>
        <v>2041.368</v>
      </c>
      <c r="M6" s="20">
        <v>300000</v>
      </c>
      <c r="N6" s="9">
        <v>0</v>
      </c>
      <c r="O6" s="18">
        <f t="shared" si="1"/>
        <v>302041.368</v>
      </c>
      <c r="P6" s="18">
        <f t="shared" si="2"/>
        <v>-97904.568</v>
      </c>
    </row>
    <row r="7" ht="28.5" spans="1:16">
      <c r="A7" s="2">
        <v>46113</v>
      </c>
      <c r="B7" s="3" t="s">
        <v>16</v>
      </c>
      <c r="C7" s="7" t="s">
        <v>23</v>
      </c>
      <c r="D7" s="5" t="s">
        <v>18</v>
      </c>
      <c r="E7" s="5" t="s">
        <v>19</v>
      </c>
      <c r="F7" s="3" t="s">
        <v>20</v>
      </c>
      <c r="G7" s="3" t="s">
        <v>21</v>
      </c>
      <c r="H7" s="11">
        <v>243099</v>
      </c>
      <c r="I7" s="11">
        <v>6260</v>
      </c>
      <c r="J7" s="14">
        <v>12.151</v>
      </c>
      <c r="K7" s="15">
        <f t="shared" si="0"/>
        <v>76065.26</v>
      </c>
      <c r="L7" s="15">
        <f t="shared" si="3"/>
        <v>760.6526</v>
      </c>
      <c r="M7" s="21">
        <v>0</v>
      </c>
      <c r="N7" s="9">
        <v>0</v>
      </c>
      <c r="O7" s="18">
        <f t="shared" si="1"/>
        <v>760.6526</v>
      </c>
      <c r="P7" s="18">
        <f t="shared" si="2"/>
        <v>75304.6074</v>
      </c>
    </row>
    <row r="8" ht="28.5" spans="1:16">
      <c r="A8" s="2">
        <v>46119</v>
      </c>
      <c r="B8" s="3" t="s">
        <v>16</v>
      </c>
      <c r="C8" s="7" t="s">
        <v>23</v>
      </c>
      <c r="D8" s="5" t="s">
        <v>18</v>
      </c>
      <c r="E8" s="5" t="s">
        <v>19</v>
      </c>
      <c r="F8" s="5" t="s">
        <v>20</v>
      </c>
      <c r="G8" s="5" t="s">
        <v>21</v>
      </c>
      <c r="H8" s="12">
        <v>243190</v>
      </c>
      <c r="I8" s="12">
        <v>14970</v>
      </c>
      <c r="J8" s="14">
        <v>12.151</v>
      </c>
      <c r="K8" s="15">
        <f t="shared" si="0"/>
        <v>181900.47</v>
      </c>
      <c r="L8" s="15">
        <f t="shared" si="3"/>
        <v>1819.0047</v>
      </c>
      <c r="M8" s="21">
        <v>0</v>
      </c>
      <c r="N8" s="9">
        <v>0</v>
      </c>
      <c r="O8" s="18">
        <f t="shared" si="1"/>
        <v>1819.0047</v>
      </c>
      <c r="P8" s="18">
        <f t="shared" si="2"/>
        <v>180081.4653</v>
      </c>
    </row>
    <row r="9" ht="28.5" spans="1:16">
      <c r="A9" s="2">
        <v>46119</v>
      </c>
      <c r="B9" s="3" t="s">
        <v>16</v>
      </c>
      <c r="C9" s="7" t="s">
        <v>24</v>
      </c>
      <c r="D9" s="5" t="s">
        <v>18</v>
      </c>
      <c r="E9" s="5" t="s">
        <v>19</v>
      </c>
      <c r="F9" s="5" t="s">
        <v>20</v>
      </c>
      <c r="G9" s="5" t="s">
        <v>21</v>
      </c>
      <c r="H9" s="12">
        <v>243203</v>
      </c>
      <c r="I9" s="12">
        <v>13660</v>
      </c>
      <c r="J9" s="14">
        <v>12.151</v>
      </c>
      <c r="K9" s="15">
        <f t="shared" si="0"/>
        <v>165982.66</v>
      </c>
      <c r="L9" s="15">
        <f t="shared" si="3"/>
        <v>1659.8266</v>
      </c>
      <c r="M9" s="21">
        <v>0</v>
      </c>
      <c r="N9" s="9">
        <v>0</v>
      </c>
      <c r="O9" s="18">
        <f t="shared" si="1"/>
        <v>1659.8266</v>
      </c>
      <c r="P9" s="18">
        <f t="shared" si="2"/>
        <v>164322.8334</v>
      </c>
    </row>
    <row r="10" ht="28.5" spans="1:16">
      <c r="A10" s="2">
        <v>46120</v>
      </c>
      <c r="B10" s="3" t="s">
        <v>16</v>
      </c>
      <c r="C10" s="7" t="s">
        <v>25</v>
      </c>
      <c r="D10" s="5" t="s">
        <v>26</v>
      </c>
      <c r="E10" s="5" t="s">
        <v>26</v>
      </c>
      <c r="F10" s="5" t="s">
        <v>19</v>
      </c>
      <c r="G10" s="5" t="s">
        <v>27</v>
      </c>
      <c r="H10" s="12">
        <v>243298</v>
      </c>
      <c r="I10" s="12">
        <v>18580</v>
      </c>
      <c r="J10" s="16">
        <v>32</v>
      </c>
      <c r="K10" s="15">
        <f t="shared" si="0"/>
        <v>594560</v>
      </c>
      <c r="L10" s="15">
        <f t="shared" si="3"/>
        <v>5945.6</v>
      </c>
      <c r="M10" s="21">
        <v>0</v>
      </c>
      <c r="N10" s="22">
        <v>220000</v>
      </c>
      <c r="O10" s="18">
        <f t="shared" si="1"/>
        <v>225945.6</v>
      </c>
      <c r="P10" s="18">
        <f t="shared" si="2"/>
        <v>368614.4</v>
      </c>
    </row>
    <row r="11" ht="28.5" spans="1:16">
      <c r="A11" s="2">
        <v>46121</v>
      </c>
      <c r="B11" s="3" t="s">
        <v>16</v>
      </c>
      <c r="C11" s="7" t="s">
        <v>25</v>
      </c>
      <c r="D11" s="5" t="s">
        <v>18</v>
      </c>
      <c r="E11" s="5" t="s">
        <v>19</v>
      </c>
      <c r="F11" s="5" t="s">
        <v>20</v>
      </c>
      <c r="G11" s="5" t="s">
        <v>21</v>
      </c>
      <c r="H11" s="12">
        <v>243389</v>
      </c>
      <c r="I11" s="12">
        <v>11510</v>
      </c>
      <c r="J11" s="14">
        <v>12.151</v>
      </c>
      <c r="K11" s="15">
        <f t="shared" si="0"/>
        <v>139858.01</v>
      </c>
      <c r="L11" s="15">
        <f t="shared" si="3"/>
        <v>1398.5801</v>
      </c>
      <c r="M11" s="21">
        <v>0</v>
      </c>
      <c r="N11" s="9">
        <v>0</v>
      </c>
      <c r="O11" s="18">
        <f t="shared" si="1"/>
        <v>1398.5801</v>
      </c>
      <c r="P11" s="18">
        <f t="shared" si="2"/>
        <v>138459.4299</v>
      </c>
    </row>
    <row r="12" ht="28.5" spans="1:16">
      <c r="A12" s="2">
        <v>46121</v>
      </c>
      <c r="B12" s="3" t="s">
        <v>16</v>
      </c>
      <c r="C12" s="7" t="s">
        <v>25</v>
      </c>
      <c r="D12" s="5" t="s">
        <v>18</v>
      </c>
      <c r="E12" s="5" t="s">
        <v>19</v>
      </c>
      <c r="F12" s="5" t="s">
        <v>20</v>
      </c>
      <c r="G12" s="5" t="s">
        <v>21</v>
      </c>
      <c r="H12" s="12">
        <v>243378</v>
      </c>
      <c r="I12" s="12">
        <v>13530</v>
      </c>
      <c r="J12" s="14">
        <v>12.151</v>
      </c>
      <c r="K12" s="15">
        <f t="shared" si="0"/>
        <v>164403.03</v>
      </c>
      <c r="L12" s="15">
        <f t="shared" si="3"/>
        <v>1644.0303</v>
      </c>
      <c r="M12" s="21">
        <v>0</v>
      </c>
      <c r="N12" s="9">
        <v>0</v>
      </c>
      <c r="O12" s="18">
        <f t="shared" si="1"/>
        <v>1644.0303</v>
      </c>
      <c r="P12" s="18">
        <f t="shared" si="2"/>
        <v>162758.9997</v>
      </c>
    </row>
    <row r="13" ht="28.5" spans="1:16">
      <c r="A13" s="2">
        <v>46121</v>
      </c>
      <c r="B13" s="3" t="s">
        <v>16</v>
      </c>
      <c r="C13" s="7" t="s">
        <v>25</v>
      </c>
      <c r="D13" s="5" t="s">
        <v>18</v>
      </c>
      <c r="E13" s="5" t="s">
        <v>19</v>
      </c>
      <c r="F13" s="3" t="s">
        <v>20</v>
      </c>
      <c r="G13" s="3" t="s">
        <v>21</v>
      </c>
      <c r="H13" s="11">
        <v>243401</v>
      </c>
      <c r="I13" s="11">
        <v>10970</v>
      </c>
      <c r="J13" s="14">
        <v>12.151</v>
      </c>
      <c r="K13" s="15">
        <f t="shared" si="0"/>
        <v>133296.47</v>
      </c>
      <c r="L13" s="15">
        <f t="shared" si="3"/>
        <v>1332.9647</v>
      </c>
      <c r="M13" s="21">
        <v>0</v>
      </c>
      <c r="N13" s="9">
        <v>0</v>
      </c>
      <c r="O13" s="18">
        <f t="shared" si="1"/>
        <v>1332.9647</v>
      </c>
      <c r="P13" s="18">
        <f t="shared" si="2"/>
        <v>131963.5053</v>
      </c>
    </row>
    <row r="14" ht="28.5" spans="1:16">
      <c r="A14" s="2">
        <v>46121</v>
      </c>
      <c r="B14" s="3" t="s">
        <v>16</v>
      </c>
      <c r="C14" s="7" t="s">
        <v>25</v>
      </c>
      <c r="D14" s="5" t="s">
        <v>18</v>
      </c>
      <c r="E14" s="5" t="s">
        <v>19</v>
      </c>
      <c r="F14" s="5" t="s">
        <v>20</v>
      </c>
      <c r="G14" s="5" t="s">
        <v>21</v>
      </c>
      <c r="H14" s="12">
        <v>243419</v>
      </c>
      <c r="I14" s="12">
        <v>10370</v>
      </c>
      <c r="J14" s="14">
        <v>12.151</v>
      </c>
      <c r="K14" s="15">
        <f t="shared" si="0"/>
        <v>126005.87</v>
      </c>
      <c r="L14" s="15">
        <f t="shared" si="3"/>
        <v>1260.0587</v>
      </c>
      <c r="M14" s="21">
        <v>0</v>
      </c>
      <c r="N14" s="9">
        <v>0</v>
      </c>
      <c r="O14" s="18">
        <f t="shared" si="1"/>
        <v>1260.0587</v>
      </c>
      <c r="P14" s="18">
        <f t="shared" si="2"/>
        <v>124745.8113</v>
      </c>
    </row>
    <row r="15" ht="28.5" spans="1:16">
      <c r="A15" s="2">
        <v>46121</v>
      </c>
      <c r="B15" s="3" t="s">
        <v>16</v>
      </c>
      <c r="C15" s="4" t="s">
        <v>28</v>
      </c>
      <c r="D15" s="5" t="s">
        <v>18</v>
      </c>
      <c r="E15" s="5" t="s">
        <v>19</v>
      </c>
      <c r="F15" s="3" t="s">
        <v>20</v>
      </c>
      <c r="G15" s="3" t="s">
        <v>21</v>
      </c>
      <c r="H15" s="11">
        <v>243437</v>
      </c>
      <c r="I15" s="11">
        <v>10620</v>
      </c>
      <c r="J15" s="14">
        <v>12.151</v>
      </c>
      <c r="K15" s="15">
        <f t="shared" si="0"/>
        <v>129043.62</v>
      </c>
      <c r="L15" s="15">
        <f t="shared" si="3"/>
        <v>1290.4362</v>
      </c>
      <c r="M15" s="21">
        <v>0</v>
      </c>
      <c r="N15" s="9">
        <v>0</v>
      </c>
      <c r="O15" s="18">
        <f t="shared" si="1"/>
        <v>1290.4362</v>
      </c>
      <c r="P15" s="18">
        <f t="shared" si="2"/>
        <v>127753.1838</v>
      </c>
    </row>
    <row r="16" ht="28.5" spans="1:16">
      <c r="A16" s="2">
        <v>46121</v>
      </c>
      <c r="B16" s="3" t="s">
        <v>16</v>
      </c>
      <c r="C16" s="4" t="s">
        <v>28</v>
      </c>
      <c r="D16" s="5" t="s">
        <v>18</v>
      </c>
      <c r="E16" s="5" t="s">
        <v>19</v>
      </c>
      <c r="F16" s="5" t="s">
        <v>20</v>
      </c>
      <c r="G16" s="5" t="s">
        <v>21</v>
      </c>
      <c r="H16" s="12">
        <v>243455</v>
      </c>
      <c r="I16" s="12">
        <v>9630</v>
      </c>
      <c r="J16" s="14">
        <v>12.151</v>
      </c>
      <c r="K16" s="15">
        <f t="shared" si="0"/>
        <v>117014.13</v>
      </c>
      <c r="L16" s="15">
        <f t="shared" si="3"/>
        <v>1170.1413</v>
      </c>
      <c r="M16" s="21">
        <v>0</v>
      </c>
      <c r="N16" s="9">
        <v>0</v>
      </c>
      <c r="O16" s="18">
        <f t="shared" si="1"/>
        <v>1170.1413</v>
      </c>
      <c r="P16" s="18">
        <f t="shared" si="2"/>
        <v>115843.9887</v>
      </c>
    </row>
    <row r="17" ht="28.5" spans="1:17">
      <c r="A17" s="2">
        <v>46121</v>
      </c>
      <c r="B17" s="3" t="s">
        <v>16</v>
      </c>
      <c r="C17" s="4" t="s">
        <v>29</v>
      </c>
      <c r="D17" s="5" t="s">
        <v>18</v>
      </c>
      <c r="E17" s="5" t="s">
        <v>19</v>
      </c>
      <c r="F17" s="5" t="s">
        <v>20</v>
      </c>
      <c r="G17" s="5" t="s">
        <v>21</v>
      </c>
      <c r="H17" s="12">
        <v>243465</v>
      </c>
      <c r="I17" s="12">
        <v>15060</v>
      </c>
      <c r="J17" s="14">
        <v>12.151</v>
      </c>
      <c r="K17" s="15">
        <f t="shared" si="0"/>
        <v>182994.06</v>
      </c>
      <c r="L17" s="15">
        <f t="shared" si="3"/>
        <v>1829.9406</v>
      </c>
      <c r="M17" s="21">
        <v>0</v>
      </c>
      <c r="N17" s="9">
        <v>0</v>
      </c>
      <c r="O17" s="18">
        <f t="shared" si="1"/>
        <v>1829.9406</v>
      </c>
      <c r="P17" s="18">
        <f t="shared" si="2"/>
        <v>181164.1194</v>
      </c>
      <c r="Q17" s="23"/>
    </row>
    <row r="18" ht="28.5" spans="1:16">
      <c r="A18" s="2">
        <v>46122</v>
      </c>
      <c r="B18" s="3" t="s">
        <v>16</v>
      </c>
      <c r="C18" s="4" t="s">
        <v>29</v>
      </c>
      <c r="D18" s="5" t="s">
        <v>18</v>
      </c>
      <c r="E18" s="5" t="s">
        <v>19</v>
      </c>
      <c r="F18" s="5" t="s">
        <v>20</v>
      </c>
      <c r="G18" s="5" t="s">
        <v>21</v>
      </c>
      <c r="H18" s="12">
        <v>243561</v>
      </c>
      <c r="I18" s="12">
        <v>10490</v>
      </c>
      <c r="J18" s="14">
        <v>12.151</v>
      </c>
      <c r="K18" s="15">
        <f t="shared" si="0"/>
        <v>127463.99</v>
      </c>
      <c r="L18" s="15">
        <f t="shared" si="3"/>
        <v>1274.6399</v>
      </c>
      <c r="M18" s="21">
        <v>0</v>
      </c>
      <c r="N18" s="9">
        <v>0</v>
      </c>
      <c r="O18" s="18">
        <f t="shared" si="1"/>
        <v>1274.6399</v>
      </c>
      <c r="P18" s="18">
        <f t="shared" si="2"/>
        <v>126189.3501</v>
      </c>
    </row>
    <row r="19" ht="28.5" spans="1:16">
      <c r="A19" s="2">
        <v>46122</v>
      </c>
      <c r="B19" s="3" t="s">
        <v>16</v>
      </c>
      <c r="C19" s="4" t="s">
        <v>22</v>
      </c>
      <c r="D19" s="5" t="s">
        <v>26</v>
      </c>
      <c r="E19" s="5" t="s">
        <v>26</v>
      </c>
      <c r="F19" s="5" t="s">
        <v>19</v>
      </c>
      <c r="G19" s="5" t="s">
        <v>27</v>
      </c>
      <c r="H19" s="12">
        <v>243508</v>
      </c>
      <c r="I19" s="12">
        <v>18050</v>
      </c>
      <c r="J19" s="16">
        <v>32</v>
      </c>
      <c r="K19" s="15">
        <f t="shared" si="0"/>
        <v>577600</v>
      </c>
      <c r="L19" s="15">
        <f t="shared" si="3"/>
        <v>5776</v>
      </c>
      <c r="M19" s="21">
        <v>0</v>
      </c>
      <c r="N19" s="22">
        <v>220000</v>
      </c>
      <c r="O19" s="18">
        <f t="shared" si="1"/>
        <v>225776</v>
      </c>
      <c r="P19" s="18">
        <f t="shared" si="2"/>
        <v>351824</v>
      </c>
    </row>
    <row r="20" ht="28.5" spans="1:16">
      <c r="A20" s="2">
        <v>46122</v>
      </c>
      <c r="B20" s="3" t="s">
        <v>16</v>
      </c>
      <c r="C20" s="7" t="s">
        <v>25</v>
      </c>
      <c r="D20" s="5" t="s">
        <v>26</v>
      </c>
      <c r="E20" s="3" t="s">
        <v>26</v>
      </c>
      <c r="F20" s="5" t="s">
        <v>19</v>
      </c>
      <c r="G20" s="5" t="s">
        <v>27</v>
      </c>
      <c r="H20" s="12">
        <v>243556</v>
      </c>
      <c r="I20" s="12">
        <v>19110</v>
      </c>
      <c r="J20" s="16">
        <v>32</v>
      </c>
      <c r="K20" s="15">
        <f>I20*J20</f>
        <v>611520</v>
      </c>
      <c r="L20" s="15">
        <f t="shared" si="3"/>
        <v>6115.2</v>
      </c>
      <c r="M20" s="21">
        <v>0</v>
      </c>
      <c r="N20" s="22">
        <v>220000</v>
      </c>
      <c r="O20" s="18">
        <f t="shared" si="1"/>
        <v>226115.2</v>
      </c>
      <c r="P20" s="18">
        <f t="shared" si="2"/>
        <v>385404.8</v>
      </c>
    </row>
    <row r="21" ht="28.5" spans="1:16">
      <c r="A21" s="2">
        <v>46123</v>
      </c>
      <c r="B21" s="3" t="s">
        <v>16</v>
      </c>
      <c r="C21" s="7" t="s">
        <v>23</v>
      </c>
      <c r="D21" s="5" t="s">
        <v>30</v>
      </c>
      <c r="E21" s="3" t="s">
        <v>31</v>
      </c>
      <c r="F21" s="5" t="s">
        <v>31</v>
      </c>
      <c r="G21" s="5" t="s">
        <v>27</v>
      </c>
      <c r="H21" s="12">
        <v>700006506</v>
      </c>
      <c r="I21" s="12">
        <v>16440</v>
      </c>
      <c r="J21" s="16">
        <v>50</v>
      </c>
      <c r="K21" s="15">
        <f t="shared" si="0"/>
        <v>822000</v>
      </c>
      <c r="L21" s="15">
        <f t="shared" si="3"/>
        <v>8220</v>
      </c>
      <c r="M21" s="21">
        <v>0</v>
      </c>
      <c r="N21" s="22">
        <v>110000</v>
      </c>
      <c r="O21" s="18">
        <f t="shared" si="1"/>
        <v>118220</v>
      </c>
      <c r="P21" s="18">
        <f t="shared" si="2"/>
        <v>703780</v>
      </c>
    </row>
    <row r="22" ht="28.5" spans="1:16">
      <c r="A22" s="2">
        <v>46123</v>
      </c>
      <c r="B22" s="3" t="s">
        <v>16</v>
      </c>
      <c r="C22" s="7" t="s">
        <v>23</v>
      </c>
      <c r="D22" s="5" t="s">
        <v>26</v>
      </c>
      <c r="E22" s="5" t="s">
        <v>26</v>
      </c>
      <c r="F22" s="5" t="s">
        <v>19</v>
      </c>
      <c r="G22" s="5" t="s">
        <v>27</v>
      </c>
      <c r="H22" s="12">
        <v>243729</v>
      </c>
      <c r="I22" s="12">
        <v>16890</v>
      </c>
      <c r="J22" s="16">
        <v>32</v>
      </c>
      <c r="K22" s="15">
        <f t="shared" si="0"/>
        <v>540480</v>
      </c>
      <c r="L22" s="15">
        <f t="shared" si="3"/>
        <v>5404.8</v>
      </c>
      <c r="M22" s="21">
        <v>0</v>
      </c>
      <c r="N22" s="22">
        <v>110000</v>
      </c>
      <c r="O22" s="18">
        <f t="shared" si="1"/>
        <v>115404.8</v>
      </c>
      <c r="P22" s="18">
        <f t="shared" si="2"/>
        <v>425075.2</v>
      </c>
    </row>
    <row r="23" ht="28.5" spans="1:16">
      <c r="A23" s="2">
        <v>46125</v>
      </c>
      <c r="B23" s="3" t="s">
        <v>16</v>
      </c>
      <c r="C23" s="7" t="s">
        <v>24</v>
      </c>
      <c r="D23" s="5" t="s">
        <v>18</v>
      </c>
      <c r="E23" s="5" t="s">
        <v>19</v>
      </c>
      <c r="F23" s="5" t="s">
        <v>20</v>
      </c>
      <c r="G23" s="5" t="s">
        <v>21</v>
      </c>
      <c r="H23" s="12">
        <v>243810</v>
      </c>
      <c r="I23" s="12">
        <v>20320</v>
      </c>
      <c r="J23" s="14">
        <v>12.151</v>
      </c>
      <c r="K23" s="15">
        <f t="shared" si="0"/>
        <v>246908.32</v>
      </c>
      <c r="L23" s="15">
        <f t="shared" si="3"/>
        <v>2469.0832</v>
      </c>
      <c r="M23" s="21">
        <v>0</v>
      </c>
      <c r="N23" s="22"/>
      <c r="O23" s="18">
        <f t="shared" si="1"/>
        <v>2469.0832</v>
      </c>
      <c r="P23" s="18">
        <f t="shared" si="2"/>
        <v>244439.2368</v>
      </c>
    </row>
    <row r="24" ht="28.5" spans="1:16">
      <c r="A24" s="2">
        <v>46125</v>
      </c>
      <c r="B24" s="3" t="s">
        <v>16</v>
      </c>
      <c r="C24" s="7" t="s">
        <v>24</v>
      </c>
      <c r="D24" s="5" t="s">
        <v>26</v>
      </c>
      <c r="E24" s="3" t="s">
        <v>26</v>
      </c>
      <c r="F24" s="5" t="s">
        <v>19</v>
      </c>
      <c r="G24" s="5" t="s">
        <v>27</v>
      </c>
      <c r="H24" s="12">
        <v>243804</v>
      </c>
      <c r="I24" s="12">
        <v>19040</v>
      </c>
      <c r="J24" s="16">
        <v>32</v>
      </c>
      <c r="K24" s="15">
        <f t="shared" si="0"/>
        <v>609280</v>
      </c>
      <c r="L24" s="15">
        <f t="shared" si="3"/>
        <v>6092.8</v>
      </c>
      <c r="M24" s="21">
        <v>0</v>
      </c>
      <c r="N24" s="22">
        <v>220000</v>
      </c>
      <c r="O24" s="18">
        <f t="shared" si="1"/>
        <v>226092.8</v>
      </c>
      <c r="P24" s="18">
        <f t="shared" si="2"/>
        <v>383187.2</v>
      </c>
    </row>
    <row r="25" ht="28.5" spans="1:16">
      <c r="A25" s="2">
        <v>46129</v>
      </c>
      <c r="B25" s="3" t="s">
        <v>16</v>
      </c>
      <c r="C25" s="7" t="s">
        <v>24</v>
      </c>
      <c r="D25" s="5" t="s">
        <v>26</v>
      </c>
      <c r="E25" s="3" t="s">
        <v>26</v>
      </c>
      <c r="F25" s="5" t="s">
        <v>19</v>
      </c>
      <c r="G25" s="5" t="s">
        <v>27</v>
      </c>
      <c r="H25" s="12">
        <v>243872</v>
      </c>
      <c r="I25" s="12">
        <v>18950</v>
      </c>
      <c r="J25" s="16">
        <v>32</v>
      </c>
      <c r="K25" s="15">
        <f t="shared" si="0"/>
        <v>606400</v>
      </c>
      <c r="L25" s="15">
        <f t="shared" si="3"/>
        <v>6064</v>
      </c>
      <c r="M25" s="21">
        <v>0</v>
      </c>
      <c r="N25" s="22">
        <v>220000</v>
      </c>
      <c r="O25" s="18">
        <f t="shared" si="1"/>
        <v>226064</v>
      </c>
      <c r="P25" s="18">
        <f t="shared" si="2"/>
        <v>380336</v>
      </c>
    </row>
    <row r="26" spans="1:16">
      <c r="A26" s="2">
        <v>46130</v>
      </c>
      <c r="B26" s="3" t="s">
        <v>16</v>
      </c>
      <c r="C26" s="7" t="s">
        <v>24</v>
      </c>
      <c r="D26" s="5" t="s">
        <v>26</v>
      </c>
      <c r="E26" s="3" t="s">
        <v>26</v>
      </c>
      <c r="F26" s="3" t="s">
        <v>19</v>
      </c>
      <c r="G26" s="3" t="s">
        <v>27</v>
      </c>
      <c r="H26" s="11">
        <v>243905</v>
      </c>
      <c r="I26" s="11">
        <v>19220</v>
      </c>
      <c r="J26" s="16">
        <v>32</v>
      </c>
      <c r="K26" s="15">
        <f t="shared" si="0"/>
        <v>615040</v>
      </c>
      <c r="L26" s="15">
        <f t="shared" si="3"/>
        <v>6150.4</v>
      </c>
      <c r="M26" s="21">
        <v>0</v>
      </c>
      <c r="N26" s="22">
        <v>220000</v>
      </c>
      <c r="O26" s="18">
        <f t="shared" si="1"/>
        <v>226150.4</v>
      </c>
      <c r="P26" s="18">
        <f t="shared" si="2"/>
        <v>388889.6</v>
      </c>
    </row>
    <row r="27" ht="28.5" spans="1:16">
      <c r="A27" s="2">
        <v>46132</v>
      </c>
      <c r="B27" s="3" t="s">
        <v>16</v>
      </c>
      <c r="C27" s="4" t="s">
        <v>22</v>
      </c>
      <c r="D27" s="5" t="s">
        <v>26</v>
      </c>
      <c r="E27" s="5" t="s">
        <v>26</v>
      </c>
      <c r="F27" s="5" t="s">
        <v>19</v>
      </c>
      <c r="G27" s="5" t="s">
        <v>27</v>
      </c>
      <c r="H27" s="12">
        <v>243940</v>
      </c>
      <c r="I27" s="12">
        <v>19180</v>
      </c>
      <c r="J27" s="16">
        <v>32</v>
      </c>
      <c r="K27" s="15">
        <f t="shared" si="0"/>
        <v>613760</v>
      </c>
      <c r="L27" s="15">
        <f t="shared" si="3"/>
        <v>6137.6</v>
      </c>
      <c r="M27" s="21">
        <v>0</v>
      </c>
      <c r="N27" s="22">
        <v>220000</v>
      </c>
      <c r="O27" s="18">
        <f t="shared" si="1"/>
        <v>226137.6</v>
      </c>
      <c r="P27" s="18">
        <f t="shared" si="2"/>
        <v>387622.4</v>
      </c>
    </row>
    <row r="28" spans="1:16">
      <c r="A28" s="2">
        <v>46133</v>
      </c>
      <c r="B28" s="3" t="s">
        <v>16</v>
      </c>
      <c r="C28" s="4" t="s">
        <v>22</v>
      </c>
      <c r="D28" s="5" t="s">
        <v>26</v>
      </c>
      <c r="E28" s="5" t="s">
        <v>26</v>
      </c>
      <c r="F28" s="3" t="s">
        <v>19</v>
      </c>
      <c r="G28" s="3" t="s">
        <v>27</v>
      </c>
      <c r="H28" s="11">
        <v>243962</v>
      </c>
      <c r="I28" s="11">
        <v>17740</v>
      </c>
      <c r="J28" s="16">
        <v>32</v>
      </c>
      <c r="K28" s="15">
        <f t="shared" si="0"/>
        <v>567680</v>
      </c>
      <c r="L28" s="15">
        <f t="shared" si="3"/>
        <v>5676.8</v>
      </c>
      <c r="M28" s="21">
        <v>0</v>
      </c>
      <c r="N28" s="22">
        <v>220000</v>
      </c>
      <c r="O28" s="18">
        <f t="shared" si="1"/>
        <v>225676.8</v>
      </c>
      <c r="P28" s="18">
        <f t="shared" si="2"/>
        <v>342003.2</v>
      </c>
    </row>
    <row r="29" ht="28.5" spans="1:16">
      <c r="A29" s="2">
        <v>46133</v>
      </c>
      <c r="B29" s="3" t="s">
        <v>16</v>
      </c>
      <c r="C29" s="7" t="s">
        <v>23</v>
      </c>
      <c r="D29" s="5" t="s">
        <v>26</v>
      </c>
      <c r="E29" s="5" t="s">
        <v>26</v>
      </c>
      <c r="F29" s="5" t="s">
        <v>19</v>
      </c>
      <c r="G29" s="5" t="s">
        <v>27</v>
      </c>
      <c r="H29" s="12">
        <v>244004</v>
      </c>
      <c r="I29" s="12">
        <v>17710</v>
      </c>
      <c r="J29" s="16">
        <v>32</v>
      </c>
      <c r="K29" s="15">
        <f t="shared" si="0"/>
        <v>566720</v>
      </c>
      <c r="L29" s="15">
        <f t="shared" si="3"/>
        <v>5667.2</v>
      </c>
      <c r="M29" s="21">
        <v>0</v>
      </c>
      <c r="N29" s="22">
        <v>220000</v>
      </c>
      <c r="O29" s="18">
        <f t="shared" si="1"/>
        <v>225667.2</v>
      </c>
      <c r="P29" s="18">
        <f t="shared" si="2"/>
        <v>341052.8</v>
      </c>
    </row>
    <row r="30" spans="1:16">
      <c r="A30" s="2">
        <v>46134</v>
      </c>
      <c r="B30" s="3" t="s">
        <v>16</v>
      </c>
      <c r="C30" s="7" t="s">
        <v>24</v>
      </c>
      <c r="D30" s="5" t="s">
        <v>26</v>
      </c>
      <c r="E30" s="5" t="s">
        <v>26</v>
      </c>
      <c r="F30" s="3" t="s">
        <v>19</v>
      </c>
      <c r="G30" s="3" t="s">
        <v>27</v>
      </c>
      <c r="H30" s="11">
        <v>244061</v>
      </c>
      <c r="I30" s="11">
        <v>17480</v>
      </c>
      <c r="J30" s="16">
        <v>32</v>
      </c>
      <c r="K30" s="15">
        <f t="shared" si="0"/>
        <v>559360</v>
      </c>
      <c r="L30" s="15">
        <f t="shared" si="3"/>
        <v>5593.6</v>
      </c>
      <c r="M30" s="21">
        <v>0</v>
      </c>
      <c r="N30" s="16">
        <v>220000</v>
      </c>
      <c r="O30" s="18">
        <f t="shared" si="1"/>
        <v>225593.6</v>
      </c>
      <c r="P30" s="18">
        <f t="shared" si="2"/>
        <v>333766.4</v>
      </c>
    </row>
    <row r="31" spans="1:16">
      <c r="A31" s="2">
        <v>46135</v>
      </c>
      <c r="B31" s="3" t="s">
        <v>16</v>
      </c>
      <c r="C31" s="7" t="s">
        <v>24</v>
      </c>
      <c r="D31" s="5" t="s">
        <v>26</v>
      </c>
      <c r="E31" s="3" t="s">
        <v>26</v>
      </c>
      <c r="F31" s="3" t="s">
        <v>19</v>
      </c>
      <c r="G31" s="3" t="s">
        <v>27</v>
      </c>
      <c r="H31" s="11">
        <v>244076</v>
      </c>
      <c r="I31" s="11">
        <v>18330</v>
      </c>
      <c r="J31" s="16">
        <v>32</v>
      </c>
      <c r="K31" s="15">
        <f t="shared" si="0"/>
        <v>586560</v>
      </c>
      <c r="L31" s="15">
        <f t="shared" si="3"/>
        <v>5865.6</v>
      </c>
      <c r="M31" s="21">
        <v>0</v>
      </c>
      <c r="N31" s="16">
        <v>220000</v>
      </c>
      <c r="O31" s="18">
        <f t="shared" si="1"/>
        <v>225865.6</v>
      </c>
      <c r="P31" s="18">
        <f t="shared" si="2"/>
        <v>360694.4</v>
      </c>
    </row>
    <row r="32" spans="1:16">
      <c r="A32" s="8">
        <v>46120</v>
      </c>
      <c r="B32" s="3" t="s">
        <v>32</v>
      </c>
      <c r="C32" s="4" t="s">
        <v>29</v>
      </c>
      <c r="D32" s="9" t="s">
        <v>30</v>
      </c>
      <c r="E32" s="9" t="s">
        <v>31</v>
      </c>
      <c r="F32" s="9" t="s">
        <v>33</v>
      </c>
      <c r="G32" s="3" t="s">
        <v>27</v>
      </c>
      <c r="H32" s="9">
        <v>100013017</v>
      </c>
      <c r="I32" s="9">
        <v>34660</v>
      </c>
      <c r="J32" s="14">
        <v>100</v>
      </c>
      <c r="K32" s="15">
        <f t="shared" ref="K32:K41" si="4">I32*J32</f>
        <v>3466000</v>
      </c>
      <c r="L32" s="15">
        <f>K32*0.01</f>
        <v>34660</v>
      </c>
      <c r="M32" s="17">
        <v>500000</v>
      </c>
      <c r="N32" s="9">
        <v>0</v>
      </c>
      <c r="O32" s="18">
        <f t="shared" si="1"/>
        <v>534660</v>
      </c>
      <c r="P32" s="18">
        <f t="shared" si="2"/>
        <v>2931340</v>
      </c>
    </row>
    <row r="33" spans="1:16">
      <c r="A33" s="8">
        <v>46121</v>
      </c>
      <c r="B33" s="3" t="s">
        <v>32</v>
      </c>
      <c r="C33" s="4" t="s">
        <v>17</v>
      </c>
      <c r="D33" s="9" t="s">
        <v>30</v>
      </c>
      <c r="E33" s="9" t="s">
        <v>31</v>
      </c>
      <c r="F33" s="9" t="s">
        <v>33</v>
      </c>
      <c r="G33" s="3" t="s">
        <v>27</v>
      </c>
      <c r="H33" s="9">
        <v>100013088</v>
      </c>
      <c r="I33" s="9">
        <v>34040</v>
      </c>
      <c r="J33" s="14">
        <v>100</v>
      </c>
      <c r="K33" s="15">
        <f t="shared" si="4"/>
        <v>3404000</v>
      </c>
      <c r="L33" s="15">
        <f t="shared" si="3"/>
        <v>34040</v>
      </c>
      <c r="M33" s="17">
        <v>500000</v>
      </c>
      <c r="N33" s="9">
        <v>0</v>
      </c>
      <c r="O33" s="18">
        <f t="shared" si="1"/>
        <v>534040</v>
      </c>
      <c r="P33" s="18">
        <f t="shared" si="2"/>
        <v>2869960</v>
      </c>
    </row>
    <row r="34" spans="1:16">
      <c r="A34" s="8">
        <v>46123</v>
      </c>
      <c r="B34" s="3" t="s">
        <v>32</v>
      </c>
      <c r="C34" s="4" t="s">
        <v>17</v>
      </c>
      <c r="D34" s="9" t="s">
        <v>30</v>
      </c>
      <c r="E34" s="9" t="s">
        <v>31</v>
      </c>
      <c r="F34" s="9" t="s">
        <v>33</v>
      </c>
      <c r="G34" s="3" t="s">
        <v>27</v>
      </c>
      <c r="H34" s="9">
        <v>100013136</v>
      </c>
      <c r="I34" s="9">
        <v>31880</v>
      </c>
      <c r="J34" s="14">
        <v>100</v>
      </c>
      <c r="K34" s="15">
        <f t="shared" si="4"/>
        <v>3188000</v>
      </c>
      <c r="L34" s="15">
        <f t="shared" si="3"/>
        <v>31880</v>
      </c>
      <c r="M34" s="17">
        <v>500000</v>
      </c>
      <c r="N34" s="9">
        <v>0</v>
      </c>
      <c r="O34" s="18">
        <f t="shared" si="1"/>
        <v>531880</v>
      </c>
      <c r="P34" s="18">
        <f t="shared" si="2"/>
        <v>2656120</v>
      </c>
    </row>
    <row r="35" spans="1:16">
      <c r="A35" s="8">
        <v>46126</v>
      </c>
      <c r="B35" s="3" t="s">
        <v>32</v>
      </c>
      <c r="C35" s="4" t="s">
        <v>17</v>
      </c>
      <c r="D35" s="9" t="s">
        <v>30</v>
      </c>
      <c r="E35" s="9" t="s">
        <v>31</v>
      </c>
      <c r="F35" s="9" t="s">
        <v>33</v>
      </c>
      <c r="G35" s="3" t="s">
        <v>27</v>
      </c>
      <c r="H35" s="9">
        <v>100013206</v>
      </c>
      <c r="I35" s="9">
        <v>33150</v>
      </c>
      <c r="J35" s="14">
        <v>100</v>
      </c>
      <c r="K35" s="15">
        <f t="shared" si="4"/>
        <v>3315000</v>
      </c>
      <c r="L35" s="15">
        <f t="shared" si="3"/>
        <v>33150</v>
      </c>
      <c r="M35" s="17">
        <v>500000</v>
      </c>
      <c r="N35" s="9">
        <v>0</v>
      </c>
      <c r="O35" s="18">
        <f t="shared" si="1"/>
        <v>533150</v>
      </c>
      <c r="P35" s="18">
        <f t="shared" si="2"/>
        <v>2781850</v>
      </c>
    </row>
    <row r="36" spans="1:16">
      <c r="A36" s="8">
        <v>46132</v>
      </c>
      <c r="B36" s="3" t="s">
        <v>32</v>
      </c>
      <c r="C36" s="4" t="s">
        <v>17</v>
      </c>
      <c r="D36" s="9" t="s">
        <v>30</v>
      </c>
      <c r="E36" s="9" t="s">
        <v>31</v>
      </c>
      <c r="F36" s="9" t="s">
        <v>33</v>
      </c>
      <c r="G36" s="3" t="s">
        <v>27</v>
      </c>
      <c r="H36" s="9">
        <v>100013399</v>
      </c>
      <c r="I36" s="9">
        <v>34080</v>
      </c>
      <c r="J36" s="14">
        <v>100</v>
      </c>
      <c r="K36" s="15">
        <f t="shared" si="4"/>
        <v>3408000</v>
      </c>
      <c r="L36" s="15">
        <f t="shared" si="3"/>
        <v>34080</v>
      </c>
      <c r="M36" s="17">
        <v>500000</v>
      </c>
      <c r="N36" s="9">
        <v>0</v>
      </c>
      <c r="O36" s="18">
        <f t="shared" si="1"/>
        <v>534080</v>
      </c>
      <c r="P36" s="18">
        <f t="shared" si="2"/>
        <v>2873920</v>
      </c>
    </row>
    <row r="37" spans="1:16">
      <c r="A37" s="8">
        <v>46134</v>
      </c>
      <c r="B37" s="3" t="s">
        <v>32</v>
      </c>
      <c r="C37" s="4" t="s">
        <v>17</v>
      </c>
      <c r="D37" s="9" t="s">
        <v>30</v>
      </c>
      <c r="E37" s="9" t="s">
        <v>31</v>
      </c>
      <c r="F37" s="9" t="s">
        <v>33</v>
      </c>
      <c r="G37" s="3" t="s">
        <v>27</v>
      </c>
      <c r="H37" s="9">
        <v>100013474</v>
      </c>
      <c r="I37" s="9">
        <v>34170</v>
      </c>
      <c r="J37" s="14">
        <v>100</v>
      </c>
      <c r="K37" s="15">
        <f t="shared" si="4"/>
        <v>3417000</v>
      </c>
      <c r="L37" s="15">
        <f t="shared" si="3"/>
        <v>34170</v>
      </c>
      <c r="M37" s="17">
        <v>500000</v>
      </c>
      <c r="N37" s="9">
        <v>0</v>
      </c>
      <c r="O37" s="18">
        <f t="shared" si="1"/>
        <v>534170</v>
      </c>
      <c r="P37" s="18">
        <f t="shared" si="2"/>
        <v>2882830</v>
      </c>
    </row>
    <row r="38" spans="1:16">
      <c r="A38" s="8">
        <v>46136</v>
      </c>
      <c r="B38" s="3" t="s">
        <v>32</v>
      </c>
      <c r="C38" s="4" t="s">
        <v>34</v>
      </c>
      <c r="D38" s="9" t="s">
        <v>30</v>
      </c>
      <c r="E38" s="9" t="s">
        <v>31</v>
      </c>
      <c r="F38" s="9" t="s">
        <v>33</v>
      </c>
      <c r="G38" s="3" t="s">
        <v>27</v>
      </c>
      <c r="H38" s="9">
        <v>100013558</v>
      </c>
      <c r="I38" s="9">
        <v>31550</v>
      </c>
      <c r="J38" s="14">
        <v>100</v>
      </c>
      <c r="K38" s="15">
        <f t="shared" si="4"/>
        <v>3155000</v>
      </c>
      <c r="L38" s="15">
        <f t="shared" si="3"/>
        <v>31550</v>
      </c>
      <c r="M38" s="17">
        <v>500000</v>
      </c>
      <c r="N38" s="9">
        <v>0</v>
      </c>
      <c r="O38" s="18">
        <f t="shared" si="1"/>
        <v>531550</v>
      </c>
      <c r="P38" s="18">
        <f t="shared" si="2"/>
        <v>2623450</v>
      </c>
    </row>
    <row r="39" spans="1:16">
      <c r="A39" s="8">
        <v>46137</v>
      </c>
      <c r="B39" s="3" t="s">
        <v>32</v>
      </c>
      <c r="C39" s="4" t="s">
        <v>29</v>
      </c>
      <c r="D39" s="9" t="s">
        <v>30</v>
      </c>
      <c r="E39" s="9" t="s">
        <v>31</v>
      </c>
      <c r="F39" s="9" t="s">
        <v>33</v>
      </c>
      <c r="G39" s="3" t="s">
        <v>27</v>
      </c>
      <c r="H39" s="9">
        <v>100013623</v>
      </c>
      <c r="I39" s="9">
        <v>32710</v>
      </c>
      <c r="J39" s="14">
        <v>100</v>
      </c>
      <c r="K39" s="15">
        <f t="shared" si="4"/>
        <v>3271000</v>
      </c>
      <c r="L39" s="15">
        <f t="shared" si="3"/>
        <v>32710</v>
      </c>
      <c r="M39" s="17">
        <v>500000</v>
      </c>
      <c r="N39" s="9">
        <v>0</v>
      </c>
      <c r="O39" s="18">
        <f t="shared" si="1"/>
        <v>532710</v>
      </c>
      <c r="P39" s="18">
        <f t="shared" si="2"/>
        <v>2738290</v>
      </c>
    </row>
    <row r="40" spans="1:16">
      <c r="A40" s="8">
        <v>46140</v>
      </c>
      <c r="B40" s="3" t="s">
        <v>32</v>
      </c>
      <c r="C40" s="4" t="s">
        <v>29</v>
      </c>
      <c r="D40" s="9" t="s">
        <v>30</v>
      </c>
      <c r="E40" s="9" t="s">
        <v>31</v>
      </c>
      <c r="F40" s="9" t="s">
        <v>33</v>
      </c>
      <c r="G40" s="3" t="s">
        <v>27</v>
      </c>
      <c r="H40" s="9">
        <v>100013681</v>
      </c>
      <c r="I40" s="9">
        <v>32660</v>
      </c>
      <c r="J40" s="14">
        <v>100</v>
      </c>
      <c r="K40" s="15">
        <f t="shared" si="4"/>
        <v>3266000</v>
      </c>
      <c r="L40" s="15">
        <f t="shared" si="3"/>
        <v>32660</v>
      </c>
      <c r="M40" s="17">
        <v>500000</v>
      </c>
      <c r="N40" s="9">
        <v>0</v>
      </c>
      <c r="O40" s="18">
        <f t="shared" si="1"/>
        <v>532660</v>
      </c>
      <c r="P40" s="18">
        <f t="shared" si="2"/>
        <v>2733340</v>
      </c>
    </row>
    <row r="41" spans="1:16">
      <c r="A41" s="8">
        <v>46142</v>
      </c>
      <c r="B41" s="3" t="s">
        <v>32</v>
      </c>
      <c r="C41" s="4" t="s">
        <v>17</v>
      </c>
      <c r="D41" s="9" t="s">
        <v>30</v>
      </c>
      <c r="E41" s="9" t="s">
        <v>31</v>
      </c>
      <c r="F41" s="9" t="s">
        <v>35</v>
      </c>
      <c r="G41" s="3" t="s">
        <v>27</v>
      </c>
      <c r="H41" s="9">
        <v>200026188</v>
      </c>
      <c r="I41" s="9">
        <v>28290</v>
      </c>
      <c r="J41" s="14">
        <v>60</v>
      </c>
      <c r="K41" s="15">
        <f t="shared" si="4"/>
        <v>1697400</v>
      </c>
      <c r="L41" s="15">
        <f t="shared" si="3"/>
        <v>16974</v>
      </c>
      <c r="M41" s="17">
        <v>300000</v>
      </c>
      <c r="N41" s="9">
        <v>0</v>
      </c>
      <c r="O41" s="18">
        <f t="shared" si="1"/>
        <v>316974</v>
      </c>
      <c r="P41" s="18">
        <f t="shared" si="2"/>
        <v>1380426</v>
      </c>
    </row>
  </sheetData>
  <conditionalFormatting sqref="H32:H4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Beleño</dc:creator>
  <cp:lastModifiedBy>asher</cp:lastModifiedBy>
  <dcterms:created xsi:type="dcterms:W3CDTF">2015-06-05T08:19:00Z</dcterms:created>
  <dcterms:modified xsi:type="dcterms:W3CDTF">2026-05-30T09:35:10Z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